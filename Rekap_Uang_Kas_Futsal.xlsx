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Kas Futsal" sheetId="1" state="visible" r:id="rId1"/>
    <sheet name="Iuran Pema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p &quot;#,##0"/>
  </numFmts>
  <fonts count="18">
    <font>
      <name val="Calibri"/>
      <family val="2"/>
      <color theme="1"/>
      <sz val="11"/>
      <scheme val="minor"/>
    </font>
    <font>
      <name val="Segoe UI"/>
      <b val="1"/>
      <color rgb="00107C41"/>
      <sz val="16"/>
    </font>
    <font>
      <name val="Segoe UI"/>
      <i val="1"/>
      <color rgb="00475569"/>
      <sz val="10"/>
    </font>
    <font>
      <name val="Segoe UI"/>
      <b val="1"/>
      <color rgb="00475569"/>
      <sz val="9"/>
    </font>
    <font>
      <name val="Segoe UI"/>
      <b val="1"/>
      <color rgb="0015803D"/>
      <sz val="15"/>
    </font>
    <font>
      <name val="Segoe UI"/>
      <b val="1"/>
      <color rgb="00B91C1C"/>
      <sz val="15"/>
    </font>
    <font>
      <name val="Segoe UI"/>
      <b val="1"/>
      <color rgb="001D4ED8"/>
      <sz val="15"/>
    </font>
    <font>
      <name val="Segoe UI"/>
      <b val="1"/>
      <color rgb="00FFFFFF"/>
      <sz val="11"/>
    </font>
    <font>
      <name val="Segoe UI"/>
      <b val="1"/>
      <color rgb="0064748B"/>
      <sz val="10"/>
    </font>
    <font>
      <name val="Segoe UI"/>
      <color rgb="000F172A"/>
      <sz val="10"/>
    </font>
    <font>
      <name val="Segoe UI"/>
      <b val="1"/>
      <color rgb="0015803D"/>
      <sz val="10"/>
    </font>
    <font>
      <name val="Segoe UI"/>
      <b val="1"/>
      <color rgb="00B91C1C"/>
      <sz val="10"/>
    </font>
    <font>
      <name val="Segoe UI"/>
      <b val="1"/>
      <color rgb="001D4ED8"/>
      <sz val="10"/>
    </font>
    <font>
      <name val="Segoe UI"/>
      <b val="1"/>
      <color rgb="000F172A"/>
      <sz val="11"/>
    </font>
    <font>
      <name val="Segoe UI"/>
      <b val="1"/>
      <color rgb="0015803D"/>
      <sz val="11"/>
    </font>
    <font>
      <name val="Segoe UI"/>
      <b val="1"/>
      <color rgb="00B91C1C"/>
      <sz val="11"/>
    </font>
    <font>
      <name val="Segoe UI"/>
      <b val="1"/>
      <color rgb="001D4ED8"/>
      <sz val="11"/>
    </font>
    <font>
      <name val="Segoe UI"/>
      <b val="1"/>
      <color rgb="000F172A"/>
      <sz val="10"/>
    </font>
  </fonts>
  <fills count="9">
    <fill>
      <patternFill/>
    </fill>
    <fill>
      <patternFill patternType="gray125"/>
    </fill>
    <fill>
      <patternFill patternType="solid">
        <fgColor rgb="00DCFCE7"/>
        <bgColor rgb="00DCFCE7"/>
      </patternFill>
    </fill>
    <fill>
      <patternFill patternType="solid">
        <fgColor rgb="00FEE2E2"/>
        <bgColor rgb="00FEE2E2"/>
      </patternFill>
    </fill>
    <fill>
      <patternFill patternType="solid">
        <fgColor rgb="00DBEAFE"/>
        <bgColor rgb="00DBEAFE"/>
      </patternFill>
    </fill>
    <fill>
      <patternFill patternType="solid">
        <fgColor rgb="00107C41"/>
        <bgColor rgb="00107C41"/>
      </patternFill>
    </fill>
    <fill>
      <patternFill patternType="solid">
        <fgColor rgb="00FFFFFF"/>
        <bgColor rgb="00FFFFFF"/>
      </patternFill>
    </fill>
    <fill>
      <patternFill patternType="solid">
        <fgColor rgb="00F8FAF9"/>
        <bgColor rgb="00F8FAF9"/>
      </patternFill>
    </fill>
    <fill>
      <patternFill patternType="solid">
        <fgColor rgb="00E2E8F0"/>
        <bgColor rgb="00E2E8F0"/>
      </patternFill>
    </fill>
  </fills>
  <borders count="4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medium">
        <color rgb="00475569"/>
      </bottom>
    </border>
    <border>
      <left style="thin">
        <color rgb="00CBD5E1"/>
      </left>
      <right style="thin">
        <color rgb="00CBD5E1"/>
      </right>
      <top style="medium">
        <color rgb="00475569"/>
      </top>
      <bottom style="double">
        <color rgb="000F172A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4" borderId="1" applyAlignment="1" pivotButton="0" quotePrefix="0" xfId="0">
      <alignment horizontal="center" vertical="center"/>
    </xf>
    <xf numFmtId="0" fontId="0" fillId="4" borderId="1" pivotButton="0" quotePrefix="0" xfId="0"/>
    <xf numFmtId="164" fontId="4" fillId="2" borderId="1" applyAlignment="1" pivotButton="0" quotePrefix="0" xfId="0">
      <alignment horizontal="center" vertical="center"/>
    </xf>
    <xf numFmtId="164" fontId="5" fillId="3" borderId="1" applyAlignment="1" pivotButton="0" quotePrefix="0" xfId="0">
      <alignment horizontal="center" vertical="center"/>
    </xf>
    <xf numFmtId="164" fontId="6" fillId="4" borderId="1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left" vertical="center"/>
    </xf>
    <xf numFmtId="164" fontId="10" fillId="6" borderId="1" applyAlignment="1" pivotButton="0" quotePrefix="0" xfId="0">
      <alignment horizontal="right" vertical="center"/>
    </xf>
    <xf numFmtId="164" fontId="11" fillId="6" borderId="1" applyAlignment="1" pivotButton="0" quotePrefix="0" xfId="0">
      <alignment horizontal="right" vertical="center"/>
    </xf>
    <xf numFmtId="164" fontId="12" fillId="6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164" fontId="10" fillId="7" borderId="1" applyAlignment="1" pivotButton="0" quotePrefix="0" xfId="0">
      <alignment horizontal="right" vertical="center"/>
    </xf>
    <xf numFmtId="164" fontId="11" fillId="7" borderId="1" applyAlignment="1" pivotButton="0" quotePrefix="0" xfId="0">
      <alignment horizontal="right" vertical="center"/>
    </xf>
    <xf numFmtId="164" fontId="12" fillId="7" borderId="1" applyAlignment="1" pivotButton="0" quotePrefix="0" xfId="0">
      <alignment horizontal="right" vertical="center"/>
    </xf>
    <xf numFmtId="0" fontId="13" fillId="8" borderId="3" applyAlignment="1" pivotButton="0" quotePrefix="0" xfId="0">
      <alignment horizontal="right" vertical="center"/>
    </xf>
    <xf numFmtId="0" fontId="13" fillId="8" borderId="3" pivotButton="0" quotePrefix="0" xfId="0"/>
    <xf numFmtId="164" fontId="14" fillId="8" borderId="3" applyAlignment="1" pivotButton="0" quotePrefix="0" xfId="0">
      <alignment horizontal="right" vertical="center"/>
    </xf>
    <xf numFmtId="164" fontId="15" fillId="8" borderId="3" applyAlignment="1" pivotButton="0" quotePrefix="0" xfId="0">
      <alignment horizontal="right" vertical="center"/>
    </xf>
    <xf numFmtId="164" fontId="16" fillId="8" borderId="3" applyAlignment="1" pivotButton="0" quotePrefix="0" xfId="0">
      <alignment horizontal="right" vertical="center"/>
    </xf>
    <xf numFmtId="0" fontId="0" fillId="6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 vertical="center"/>
    </xf>
    <xf numFmtId="164" fontId="9" fillId="6" borderId="1" applyAlignment="1" pivotButton="0" quotePrefix="0" xfId="0">
      <alignment horizontal="right" vertical="center"/>
    </xf>
    <xf numFmtId="164" fontId="17" fillId="6" borderId="1" applyAlignment="1" pivotButton="0" quotePrefix="0" xfId="0">
      <alignment horizontal="right" vertical="center"/>
    </xf>
    <xf numFmtId="0" fontId="17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164" fontId="9" fillId="7" borderId="1" applyAlignment="1" pivotButton="0" quotePrefix="0" xfId="0">
      <alignment horizontal="right" vertical="center"/>
    </xf>
    <xf numFmtId="164" fontId="17" fillId="7" borderId="1" applyAlignment="1" pivotButton="0" quotePrefix="0" xfId="0">
      <alignment horizontal="right" vertical="center"/>
    </xf>
    <xf numFmtId="0" fontId="17" fillId="7" borderId="1" applyAlignment="1" pivotButton="0" quotePrefix="0" xfId="0">
      <alignment horizontal="center" vertical="center"/>
    </xf>
    <xf numFmtId="0" fontId="0" fillId="8" borderId="3" pivotButton="0" quotePrefix="0" xfId="0"/>
    <xf numFmtId="164" fontId="13" fillId="8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07C41"/>
    <outlinePr summaryBelow="1" summaryRight="1"/>
    <pageSetUpPr/>
  </sheetPr>
  <dimension ref="A2:G35"/>
  <sheetViews>
    <sheetView showGridLines="1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7" customWidth="1" min="1" max="1"/>
    <col width="15" customWidth="1" min="2" max="2"/>
    <col width="38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2" ht="24" customHeight="1">
      <c r="B2" s="1" t="inlineStr">
        <is>
          <t>BUKU KAS &amp; REKAPITULASI KEUANGAN FUTSAL</t>
        </is>
      </c>
    </row>
    <row r="3" ht="18" customHeight="1">
      <c r="B3" s="2" t="inlineStr">
        <is>
          <t>Laporan Resmi Kas Tim: Pemasukan, Pengeluaran, Sisa Kas Berjalan &amp; Total Akumulasi</t>
        </is>
      </c>
    </row>
    <row r="5" ht="20" customHeight="1">
      <c r="B5" s="3" t="inlineStr">
        <is>
          <t>TOTAL PEMASUKAN</t>
        </is>
      </c>
      <c r="C5" s="4" t="n"/>
      <c r="D5" s="5" t="inlineStr">
        <is>
          <t>TOTAL PENGELUARAN</t>
        </is>
      </c>
      <c r="E5" s="6" t="n"/>
      <c r="F5" s="7" t="inlineStr">
        <is>
          <t>SISA KAS (SALDO AKHIR)</t>
        </is>
      </c>
      <c r="G5" s="8" t="n"/>
    </row>
    <row r="6" ht="18" customHeight="1">
      <c r="B6" s="9">
        <f>SUM(E10:E34)</f>
        <v/>
      </c>
      <c r="C6" s="4" t="n"/>
      <c r="D6" s="10">
        <f>SUM(F10:F34)</f>
        <v/>
      </c>
      <c r="E6" s="6" t="n"/>
      <c r="F6" s="11">
        <f>B6-D6</f>
        <v/>
      </c>
      <c r="G6" s="8" t="n"/>
    </row>
    <row r="7" ht="18" customHeight="1">
      <c r="B7" s="4" t="n"/>
      <c r="C7" s="4" t="n"/>
      <c r="D7" s="6" t="n"/>
      <c r="E7" s="6" t="n"/>
      <c r="F7" s="8" t="n"/>
      <c r="G7" s="8" t="n"/>
    </row>
    <row r="8" ht="14" customHeight="1"/>
    <row r="9" ht="30" customHeight="1">
      <c r="A9" s="12" t="inlineStr">
        <is>
          <t>No</t>
        </is>
      </c>
      <c r="B9" s="12" t="inlineStr">
        <is>
          <t>Tanggal</t>
        </is>
      </c>
      <c r="C9" s="12" t="inlineStr">
        <is>
          <t>Keterangan Transaksi</t>
        </is>
      </c>
      <c r="D9" s="12" t="inlineStr">
        <is>
          <t>Kategori</t>
        </is>
      </c>
      <c r="E9" s="12" t="inlineStr">
        <is>
          <t>Pemasukan (Rp)</t>
        </is>
      </c>
      <c r="F9" s="12" t="inlineStr">
        <is>
          <t>Pengeluaran (Rp)</t>
        </is>
      </c>
      <c r="G9" s="12" t="inlineStr">
        <is>
          <t>Sisa Kas (Rp)</t>
        </is>
      </c>
    </row>
    <row r="10" ht="22" customHeight="1">
      <c r="A10" s="13" t="n">
        <v>1</v>
      </c>
      <c r="B10" s="14" t="inlineStr">
        <is>
          <t>2026-10-01</t>
        </is>
      </c>
      <c r="C10" s="15" t="inlineStr">
        <is>
          <t>Saldo Awal Kas Tim</t>
        </is>
      </c>
      <c r="D10" s="14" t="inlineStr">
        <is>
          <t>Kas Masuk Lain</t>
        </is>
      </c>
      <c r="E10" s="16" t="n">
        <v>500000</v>
      </c>
      <c r="F10" s="17" t="n">
        <v>0</v>
      </c>
      <c r="G10" s="18">
        <f>IF(AND(C10="", E10=0, F10=0), "", SUM(E$10:E10) - SUM(F$10:F10))</f>
        <v/>
      </c>
    </row>
    <row r="11" ht="22" customHeight="1">
      <c r="A11" s="19" t="n">
        <v>2</v>
      </c>
      <c r="B11" s="20" t="inlineStr">
        <is>
          <t>2026-10-04</t>
        </is>
      </c>
      <c r="C11" s="21" t="inlineStr">
        <is>
          <t>Iuran Kas Mingguan Pemain (Pekan 1)</t>
        </is>
      </c>
      <c r="D11" s="20" t="inlineStr">
        <is>
          <t>Iuran Kas</t>
        </is>
      </c>
      <c r="E11" s="22" t="n">
        <v>300000</v>
      </c>
      <c r="F11" s="23" t="n">
        <v>0</v>
      </c>
      <c r="G11" s="24">
        <f>IF(AND(C11="", E11=0, F11=0), "", SUM(E$10:E11) - SUM(F$10:F11))</f>
        <v/>
      </c>
    </row>
    <row r="12" ht="22" customHeight="1">
      <c r="A12" s="13" t="n">
        <v>3</v>
      </c>
      <c r="B12" s="14" t="inlineStr">
        <is>
          <t>2026-10-04</t>
        </is>
      </c>
      <c r="C12" s="15" t="inlineStr">
        <is>
          <t>Sewa Lapangan Futsal (2 Jam)</t>
        </is>
      </c>
      <c r="D12" s="14" t="inlineStr">
        <is>
          <t>Sewa Lapangan</t>
        </is>
      </c>
      <c r="E12" s="16" t="n">
        <v>0</v>
      </c>
      <c r="F12" s="17" t="n">
        <v>350000</v>
      </c>
      <c r="G12" s="18">
        <f>IF(AND(C12="", E12=0, F12=0), "", SUM(E$10:E12) - SUM(F$10:F12))</f>
        <v/>
      </c>
    </row>
    <row r="13" ht="22" customHeight="1">
      <c r="A13" s="19" t="n">
        <v>4</v>
      </c>
      <c r="B13" s="20" t="inlineStr">
        <is>
          <t>2026-10-04</t>
        </is>
      </c>
      <c r="C13" s="21" t="inlineStr">
        <is>
          <t>Air Mineral 1 Karton + Es Batu</t>
        </is>
      </c>
      <c r="D13" s="20" t="inlineStr">
        <is>
          <t>Konsumsi</t>
        </is>
      </c>
      <c r="E13" s="22" t="n">
        <v>0</v>
      </c>
      <c r="F13" s="23" t="n">
        <v>45000</v>
      </c>
      <c r="G13" s="24">
        <f>IF(AND(C13="", E13=0, F13=0), "", SUM(E$10:E13) - SUM(F$10:F13))</f>
        <v/>
      </c>
    </row>
    <row r="14" ht="22" customHeight="1">
      <c r="A14" s="13" t="n">
        <v>5</v>
      </c>
      <c r="B14" s="14" t="inlineStr">
        <is>
          <t>2026-10-11</t>
        </is>
      </c>
      <c r="C14" s="15" t="inlineStr">
        <is>
          <t>Iuran Kas Mingguan Pemain (Pekan 2)</t>
        </is>
      </c>
      <c r="D14" s="14" t="inlineStr">
        <is>
          <t>Iuran Kas</t>
        </is>
      </c>
      <c r="E14" s="16" t="n">
        <v>280000</v>
      </c>
      <c r="F14" s="17" t="n">
        <v>0</v>
      </c>
      <c r="G14" s="18">
        <f>IF(AND(C14="", E14=0, F14=0), "", SUM(E$10:E14) - SUM(F$10:F14))</f>
        <v/>
      </c>
    </row>
    <row r="15" ht="22" customHeight="1">
      <c r="A15" s="19" t="n">
        <v>6</v>
      </c>
      <c r="B15" s="20" t="inlineStr">
        <is>
          <t>2026-10-11</t>
        </is>
      </c>
      <c r="C15" s="21" t="inlineStr">
        <is>
          <t>Sewa Lapangan Futsal (2 Jam)</t>
        </is>
      </c>
      <c r="D15" s="20" t="inlineStr">
        <is>
          <t>Sewa Lapangan</t>
        </is>
      </c>
      <c r="E15" s="22" t="n">
        <v>0</v>
      </c>
      <c r="F15" s="23" t="n">
        <v>350000</v>
      </c>
      <c r="G15" s="24">
        <f>IF(AND(C15="", E15=0, F15=0), "", SUM(E$10:E15) - SUM(F$10:F15))</f>
        <v/>
      </c>
    </row>
    <row r="16" ht="22" customHeight="1">
      <c r="A16" s="13" t="n">
        <v>7</v>
      </c>
      <c r="B16" s="14" t="inlineStr">
        <is>
          <t>2026-10-15</t>
        </is>
      </c>
      <c r="C16" s="15" t="inlineStr">
        <is>
          <t>Beli Bola Futsal Specs Original (1 pcs)</t>
        </is>
      </c>
      <c r="D16" s="14" t="inlineStr">
        <is>
          <t>Perlengkapan</t>
        </is>
      </c>
      <c r="E16" s="16" t="n">
        <v>0</v>
      </c>
      <c r="F16" s="17" t="n">
        <v>240000</v>
      </c>
      <c r="G16" s="18">
        <f>IF(AND(C16="", E16=0, F16=0), "", SUM(E$10:E16) - SUM(F$10:F16))</f>
        <v/>
      </c>
    </row>
    <row r="17" ht="22" customHeight="1">
      <c r="A17" s="19" t="n">
        <v>8</v>
      </c>
      <c r="B17" s="20" t="inlineStr">
        <is>
          <t>2026-10-18</t>
        </is>
      </c>
      <c r="C17" s="21" t="inlineStr">
        <is>
          <t>Iuran Kas Mingguan Pemain (Pekan 3)</t>
        </is>
      </c>
      <c r="D17" s="20" t="inlineStr">
        <is>
          <t>Iuran Kas</t>
        </is>
      </c>
      <c r="E17" s="22" t="n">
        <v>300000</v>
      </c>
      <c r="F17" s="23" t="n">
        <v>0</v>
      </c>
      <c r="G17" s="24">
        <f>IF(AND(C17="", E17=0, F17=0), "", SUM(E$10:E17) - SUM(F$10:F17))</f>
        <v/>
      </c>
    </row>
    <row r="18" ht="22" customHeight="1">
      <c r="A18" s="13" t="n">
        <v>9</v>
      </c>
      <c r="B18" s="14" t="inlineStr">
        <is>
          <t>2026-10-18</t>
        </is>
      </c>
      <c r="C18" s="15" t="inlineStr">
        <is>
          <t>Sewa Lapangan Futsal (2 Jam)</t>
        </is>
      </c>
      <c r="D18" s="14" t="inlineStr">
        <is>
          <t>Sewa Lapangan</t>
        </is>
      </c>
      <c r="E18" s="16" t="n">
        <v>0</v>
      </c>
      <c r="F18" s="17" t="n">
        <v>350000</v>
      </c>
      <c r="G18" s="18">
        <f>IF(AND(C18="", E18=0, F18=0), "", SUM(E$10:E18) - SUM(F$10:F18))</f>
        <v/>
      </c>
    </row>
    <row r="19" ht="22" customHeight="1">
      <c r="A19" s="19" t="n">
        <v>10</v>
      </c>
      <c r="B19" s="20" t="inlineStr">
        <is>
          <t>2026-10-18</t>
        </is>
      </c>
      <c r="C19" s="21" t="inlineStr">
        <is>
          <t>Uang Pendaftaran Turnamen Antar Tim</t>
        </is>
      </c>
      <c r="D19" s="20" t="inlineStr">
        <is>
          <t>Turnamen</t>
        </is>
      </c>
      <c r="E19" s="22" t="n">
        <v>0</v>
      </c>
      <c r="F19" s="23" t="n">
        <v>200000</v>
      </c>
      <c r="G19" s="24">
        <f>IF(AND(C19="", E19=0, F19=0), "", SUM(E$10:E19) - SUM(F$10:F19))</f>
        <v/>
      </c>
    </row>
    <row r="20" ht="22" customHeight="1">
      <c r="A20" s="13" t="n">
        <v>11</v>
      </c>
      <c r="B20" s="14" t="inlineStr">
        <is>
          <t>2026-10-25</t>
        </is>
      </c>
      <c r="C20" s="15" t="inlineStr">
        <is>
          <t>Hadiah Juara 3 Turnamen Futsal</t>
        </is>
      </c>
      <c r="D20" s="14" t="inlineStr">
        <is>
          <t>Kas Masuk Lain</t>
        </is>
      </c>
      <c r="E20" s="16" t="n">
        <v>500000</v>
      </c>
      <c r="F20" s="17" t="n">
        <v>0</v>
      </c>
      <c r="G20" s="18">
        <f>IF(AND(C20="", E20=0, F20=0), "", SUM(E$10:E20) - SUM(F$10:F20))</f>
        <v/>
      </c>
    </row>
    <row r="21" ht="22" customHeight="1">
      <c r="A21" s="19" t="n">
        <v>12</v>
      </c>
      <c r="B21" s="20" t="inlineStr">
        <is>
          <t>2026-10-25</t>
        </is>
      </c>
      <c r="C21" s="21" t="inlineStr">
        <is>
          <t>Iuran Kas Mingguan Pemain (Pekan 4)</t>
        </is>
      </c>
      <c r="D21" s="20" t="inlineStr">
        <is>
          <t>Iuran Kas</t>
        </is>
      </c>
      <c r="E21" s="22" t="n">
        <v>320000</v>
      </c>
      <c r="F21" s="23" t="n">
        <v>0</v>
      </c>
      <c r="G21" s="24">
        <f>IF(AND(C21="", E21=0, F21=0), "", SUM(E$10:E21) - SUM(F$10:F21))</f>
        <v/>
      </c>
    </row>
    <row r="22" ht="22" customHeight="1">
      <c r="A22" s="13">
        <f>IF(C22&lt;&gt;"", ROW()-9, "")</f>
        <v/>
      </c>
      <c r="B22" s="14" t="inlineStr"/>
      <c r="C22" s="15" t="inlineStr"/>
      <c r="D22" s="14" t="inlineStr"/>
      <c r="E22" s="16" t="n">
        <v>0</v>
      </c>
      <c r="F22" s="17" t="n">
        <v>0</v>
      </c>
      <c r="G22" s="18">
        <f>IF(AND(C22="", E22=0, F22=0), "", SUM(E$10:E22) - SUM(F$10:F22))</f>
        <v/>
      </c>
    </row>
    <row r="23" ht="22" customHeight="1">
      <c r="A23" s="19">
        <f>IF(C23&lt;&gt;"", ROW()-9, "")</f>
        <v/>
      </c>
      <c r="B23" s="20" t="inlineStr"/>
      <c r="C23" s="21" t="inlineStr"/>
      <c r="D23" s="20" t="inlineStr"/>
      <c r="E23" s="22" t="n">
        <v>0</v>
      </c>
      <c r="F23" s="23" t="n">
        <v>0</v>
      </c>
      <c r="G23" s="24">
        <f>IF(AND(C23="", E23=0, F23=0), "", SUM(E$10:E23) - SUM(F$10:F23))</f>
        <v/>
      </c>
    </row>
    <row r="24" ht="22" customHeight="1">
      <c r="A24" s="13">
        <f>IF(C24&lt;&gt;"", ROW()-9, "")</f>
        <v/>
      </c>
      <c r="B24" s="14" t="inlineStr"/>
      <c r="C24" s="15" t="inlineStr"/>
      <c r="D24" s="14" t="inlineStr"/>
      <c r="E24" s="16" t="n">
        <v>0</v>
      </c>
      <c r="F24" s="17" t="n">
        <v>0</v>
      </c>
      <c r="G24" s="18">
        <f>IF(AND(C24="", E24=0, F24=0), "", SUM(E$10:E24) - SUM(F$10:F24))</f>
        <v/>
      </c>
    </row>
    <row r="25" ht="22" customHeight="1">
      <c r="A25" s="19">
        <f>IF(C25&lt;&gt;"", ROW()-9, "")</f>
        <v/>
      </c>
      <c r="B25" s="20" t="inlineStr"/>
      <c r="C25" s="21" t="inlineStr"/>
      <c r="D25" s="20" t="inlineStr"/>
      <c r="E25" s="22" t="n">
        <v>0</v>
      </c>
      <c r="F25" s="23" t="n">
        <v>0</v>
      </c>
      <c r="G25" s="24">
        <f>IF(AND(C25="", E25=0, F25=0), "", SUM(E$10:E25) - SUM(F$10:F25))</f>
        <v/>
      </c>
    </row>
    <row r="26" ht="22" customHeight="1">
      <c r="A26" s="13">
        <f>IF(C26&lt;&gt;"", ROW()-9, "")</f>
        <v/>
      </c>
      <c r="B26" s="14" t="inlineStr"/>
      <c r="C26" s="15" t="inlineStr"/>
      <c r="D26" s="14" t="inlineStr"/>
      <c r="E26" s="16" t="n">
        <v>0</v>
      </c>
      <c r="F26" s="17" t="n">
        <v>0</v>
      </c>
      <c r="G26" s="18">
        <f>IF(AND(C26="", E26=0, F26=0), "", SUM(E$10:E26) - SUM(F$10:F26))</f>
        <v/>
      </c>
    </row>
    <row r="27" ht="22" customHeight="1">
      <c r="A27" s="19">
        <f>IF(C27&lt;&gt;"", ROW()-9, "")</f>
        <v/>
      </c>
      <c r="B27" s="20" t="inlineStr"/>
      <c r="C27" s="21" t="inlineStr"/>
      <c r="D27" s="20" t="inlineStr"/>
      <c r="E27" s="22" t="n">
        <v>0</v>
      </c>
      <c r="F27" s="23" t="n">
        <v>0</v>
      </c>
      <c r="G27" s="24">
        <f>IF(AND(C27="", E27=0, F27=0), "", SUM(E$10:E27) - SUM(F$10:F27))</f>
        <v/>
      </c>
    </row>
    <row r="28" ht="22" customHeight="1">
      <c r="A28" s="13">
        <f>IF(C28&lt;&gt;"", ROW()-9, "")</f>
        <v/>
      </c>
      <c r="B28" s="14" t="inlineStr"/>
      <c r="C28" s="15" t="inlineStr"/>
      <c r="D28" s="14" t="inlineStr"/>
      <c r="E28" s="16" t="n">
        <v>0</v>
      </c>
      <c r="F28" s="17" t="n">
        <v>0</v>
      </c>
      <c r="G28" s="18">
        <f>IF(AND(C28="", E28=0, F28=0), "", SUM(E$10:E28) - SUM(F$10:F28))</f>
        <v/>
      </c>
    </row>
    <row r="29" ht="22" customHeight="1">
      <c r="A29" s="19">
        <f>IF(C29&lt;&gt;"", ROW()-9, "")</f>
        <v/>
      </c>
      <c r="B29" s="20" t="inlineStr"/>
      <c r="C29" s="21" t="inlineStr"/>
      <c r="D29" s="20" t="inlineStr"/>
      <c r="E29" s="22" t="n">
        <v>0</v>
      </c>
      <c r="F29" s="23" t="n">
        <v>0</v>
      </c>
      <c r="G29" s="24">
        <f>IF(AND(C29="", E29=0, F29=0), "", SUM(E$10:E29) - SUM(F$10:F29))</f>
        <v/>
      </c>
    </row>
    <row r="30" ht="22" customHeight="1">
      <c r="A30" s="13">
        <f>IF(C30&lt;&gt;"", ROW()-9, "")</f>
        <v/>
      </c>
      <c r="B30" s="14" t="inlineStr"/>
      <c r="C30" s="15" t="inlineStr"/>
      <c r="D30" s="14" t="inlineStr"/>
      <c r="E30" s="16" t="n">
        <v>0</v>
      </c>
      <c r="F30" s="17" t="n">
        <v>0</v>
      </c>
      <c r="G30" s="18">
        <f>IF(AND(C30="", E30=0, F30=0), "", SUM(E$10:E30) - SUM(F$10:F30))</f>
        <v/>
      </c>
    </row>
    <row r="31" ht="22" customHeight="1">
      <c r="A31" s="19">
        <f>IF(C31&lt;&gt;"", ROW()-9, "")</f>
        <v/>
      </c>
      <c r="B31" s="20" t="inlineStr"/>
      <c r="C31" s="21" t="inlineStr"/>
      <c r="D31" s="20" t="inlineStr"/>
      <c r="E31" s="22" t="n">
        <v>0</v>
      </c>
      <c r="F31" s="23" t="n">
        <v>0</v>
      </c>
      <c r="G31" s="24">
        <f>IF(AND(C31="", E31=0, F31=0), "", SUM(E$10:E31) - SUM(F$10:F31))</f>
        <v/>
      </c>
    </row>
    <row r="32" ht="22" customHeight="1">
      <c r="A32" s="13">
        <f>IF(C32&lt;&gt;"", ROW()-9, "")</f>
        <v/>
      </c>
      <c r="B32" s="14" t="inlineStr"/>
      <c r="C32" s="15" t="inlineStr"/>
      <c r="D32" s="14" t="inlineStr"/>
      <c r="E32" s="16" t="n">
        <v>0</v>
      </c>
      <c r="F32" s="17" t="n">
        <v>0</v>
      </c>
      <c r="G32" s="18">
        <f>IF(AND(C32="", E32=0, F32=0), "", SUM(E$10:E32) - SUM(F$10:F32))</f>
        <v/>
      </c>
    </row>
    <row r="33" ht="22" customHeight="1">
      <c r="A33" s="19">
        <f>IF(C33&lt;&gt;"", ROW()-9, "")</f>
        <v/>
      </c>
      <c r="B33" s="20" t="inlineStr"/>
      <c r="C33" s="21" t="inlineStr"/>
      <c r="D33" s="20" t="inlineStr"/>
      <c r="E33" s="22" t="n">
        <v>0</v>
      </c>
      <c r="F33" s="23" t="n">
        <v>0</v>
      </c>
      <c r="G33" s="24">
        <f>IF(AND(C33="", E33=0, F33=0), "", SUM(E$10:E33) - SUM(F$10:F33))</f>
        <v/>
      </c>
    </row>
    <row r="34" ht="22" customHeight="1">
      <c r="A34" s="13">
        <f>IF(C34&lt;&gt;"", ROW()-9, "")</f>
        <v/>
      </c>
      <c r="B34" s="14" t="inlineStr"/>
      <c r="C34" s="15" t="inlineStr"/>
      <c r="D34" s="14" t="inlineStr"/>
      <c r="E34" s="16" t="n">
        <v>0</v>
      </c>
      <c r="F34" s="17" t="n">
        <v>0</v>
      </c>
      <c r="G34" s="18">
        <f>IF(AND(C34="", E34=0, F34=0), "", SUM(E$10:E34) - SUM(F$10:F34))</f>
        <v/>
      </c>
    </row>
    <row r="35" ht="28" customHeight="1">
      <c r="A35" s="25" t="inlineStr">
        <is>
          <t>TOTAL KESELURUHAN</t>
        </is>
      </c>
      <c r="B35" s="26" t="n"/>
      <c r="C35" s="26" t="n"/>
      <c r="D35" s="26" t="n"/>
      <c r="E35" s="27">
        <f>SUM(E10:E34)</f>
        <v/>
      </c>
      <c r="F35" s="28">
        <f>SUM(F10:F34)</f>
        <v/>
      </c>
      <c r="G35" s="29">
        <f>E35-F35</f>
        <v/>
      </c>
    </row>
  </sheetData>
  <mergeCells count="7">
    <mergeCell ref="A35:D35"/>
    <mergeCell ref="B5:C5"/>
    <mergeCell ref="F5:G5"/>
    <mergeCell ref="D5:E5"/>
    <mergeCell ref="D6:E7"/>
    <mergeCell ref="B6:C7"/>
    <mergeCell ref="F6:G7"/>
  </mergeCells>
  <dataValidations count="1">
    <dataValidation sqref="D10 D11 D12 D13 D14 D15 D16 D17 D18 D19 D20 D21 D22 D23 D24 D25 D26 D27 D28 D29 D30 D31 D32 D33 D34" showDropDown="0" showInputMessage="0" showErrorMessage="0" allowBlank="1" errorTitle="Kategori Tidak Valid" error="Pilih kategori dari daftar yang tersedia" type="list">
      <formula1>"Iuran Kas,Sewa Lapangan,Konsumsi,Perlengkapan,Turnamen,Uang Sparing,Kas Masuk Lain,Lain-lain"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563EB"/>
    <outlinePr summaryBelow="1" summaryRight="1"/>
    <pageSetUpPr/>
  </sheetPr>
  <dimension ref="A2:I18"/>
  <sheetViews>
    <sheetView showGridLines="1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22" customWidth="1" min="3" max="3"/>
    <col width="16" customWidth="1" min="4" max="4"/>
    <col width="16" customWidth="1" min="5" max="5"/>
    <col width="16" customWidth="1" min="6" max="6"/>
    <col width="16" customWidth="1" min="7" max="7"/>
    <col width="18" customWidth="1" min="8" max="8"/>
    <col width="16" customWidth="1" min="9" max="9"/>
  </cols>
  <sheetData>
    <row r="2" ht="24" customHeight="1">
      <c r="B2" s="1" t="inlineStr">
        <is>
          <t>CATATAN IURAN KAS PEMAIN FUTSAL</t>
        </is>
      </c>
    </row>
    <row r="3" ht="18" customHeight="1">
      <c r="B3" s="2" t="inlineStr">
        <is>
          <t>Monitoring Pembayaran Iuran Mingguan Per Anggota (Tarif: Rp 20.000 / Pekan)</t>
        </is>
      </c>
    </row>
    <row r="5" ht="30" customHeight="1">
      <c r="A5" s="12" t="inlineStr">
        <is>
          <t>No</t>
        </is>
      </c>
      <c r="B5" s="12" t="inlineStr">
        <is>
          <t>Nama Pemain</t>
        </is>
      </c>
      <c r="C5" s="12" t="inlineStr">
        <is>
          <t>Posisi / No. Punggung</t>
        </is>
      </c>
      <c r="D5" s="12" t="inlineStr">
        <is>
          <t>Minggu 1 (Rp)</t>
        </is>
      </c>
      <c r="E5" s="12" t="inlineStr">
        <is>
          <t>Minggu 2 (Rp)</t>
        </is>
      </c>
      <c r="F5" s="12" t="inlineStr">
        <is>
          <t>Minggu 3 (Rp)</t>
        </is>
      </c>
      <c r="G5" s="12" t="inlineStr">
        <is>
          <t>Minggu 4 (Rp)</t>
        </is>
      </c>
      <c r="H5" s="12" t="inlineStr">
        <is>
          <t>Total Iuran (Rp)</t>
        </is>
      </c>
      <c r="I5" s="12" t="inlineStr">
        <is>
          <t>Status</t>
        </is>
      </c>
    </row>
    <row r="6" ht="22" customHeight="1">
      <c r="A6" s="30" t="n">
        <v>1</v>
      </c>
      <c r="B6" s="31" t="inlineStr">
        <is>
          <t>Rizky (Kapten)</t>
        </is>
      </c>
      <c r="C6" s="30" t="inlineStr">
        <is>
          <t>Flank #7</t>
        </is>
      </c>
      <c r="D6" s="32" t="n">
        <v>20000</v>
      </c>
      <c r="E6" s="32" t="n">
        <v>20000</v>
      </c>
      <c r="F6" s="32" t="n">
        <v>20000</v>
      </c>
      <c r="G6" s="32" t="n">
        <v>20000</v>
      </c>
      <c r="H6" s="33">
        <f>SUM(D6:G6)</f>
        <v/>
      </c>
      <c r="I6" s="34">
        <f>IF(H6&gt;=80000, "Lunas", "Kurang Rp " &amp; TEXT(80000-H6, "#,##0"))</f>
        <v/>
      </c>
    </row>
    <row r="7" ht="22" customHeight="1">
      <c r="A7" s="35" t="n">
        <v>2</v>
      </c>
      <c r="B7" s="36" t="inlineStr">
        <is>
          <t>Budi Santoso</t>
        </is>
      </c>
      <c r="C7" s="35" t="inlineStr">
        <is>
          <t>Anchor #4</t>
        </is>
      </c>
      <c r="D7" s="37" t="n">
        <v>20000</v>
      </c>
      <c r="E7" s="37" t="n">
        <v>20000</v>
      </c>
      <c r="F7" s="37" t="n">
        <v>20000</v>
      </c>
      <c r="G7" s="37" t="n">
        <v>0</v>
      </c>
      <c r="H7" s="38">
        <f>SUM(D7:G7)</f>
        <v/>
      </c>
      <c r="I7" s="39">
        <f>IF(H7&gt;=80000, "Lunas", "Kurang Rp " &amp; TEXT(80000-H7, "#,##0"))</f>
        <v/>
      </c>
    </row>
    <row r="8" ht="22" customHeight="1">
      <c r="A8" s="30" t="n">
        <v>3</v>
      </c>
      <c r="B8" s="31" t="inlineStr">
        <is>
          <t>Andi Pratama</t>
        </is>
      </c>
      <c r="C8" s="30" t="inlineStr">
        <is>
          <t>Pivot #9</t>
        </is>
      </c>
      <c r="D8" s="32" t="n">
        <v>20000</v>
      </c>
      <c r="E8" s="32" t="n">
        <v>20000</v>
      </c>
      <c r="F8" s="32" t="n">
        <v>20000</v>
      </c>
      <c r="G8" s="32" t="n">
        <v>20000</v>
      </c>
      <c r="H8" s="33">
        <f>SUM(D8:G8)</f>
        <v/>
      </c>
      <c r="I8" s="34">
        <f>IF(H8&gt;=80000, "Lunas", "Kurang Rp " &amp; TEXT(80000-H8, "#,##0"))</f>
        <v/>
      </c>
    </row>
    <row r="9" ht="22" customHeight="1">
      <c r="A9" s="35" t="n">
        <v>4</v>
      </c>
      <c r="B9" s="36" t="inlineStr">
        <is>
          <t>Fajar Nugraha</t>
        </is>
      </c>
      <c r="C9" s="35" t="inlineStr">
        <is>
          <t>Kiper #1</t>
        </is>
      </c>
      <c r="D9" s="37" t="n">
        <v>20000</v>
      </c>
      <c r="E9" s="37" t="n">
        <v>20000</v>
      </c>
      <c r="F9" s="37" t="n">
        <v>20000</v>
      </c>
      <c r="G9" s="37" t="n">
        <v>20000</v>
      </c>
      <c r="H9" s="38">
        <f>SUM(D9:G9)</f>
        <v/>
      </c>
      <c r="I9" s="39">
        <f>IF(H9&gt;=80000, "Lunas", "Kurang Rp " &amp; TEXT(80000-H9, "#,##0"))</f>
        <v/>
      </c>
    </row>
    <row r="10" ht="22" customHeight="1">
      <c r="A10" s="30" t="n">
        <v>5</v>
      </c>
      <c r="B10" s="31" t="inlineStr">
        <is>
          <t>Dimas Setiawan</t>
        </is>
      </c>
      <c r="C10" s="30" t="inlineStr">
        <is>
          <t>Flank #11</t>
        </is>
      </c>
      <c r="D10" s="32" t="n">
        <v>20000</v>
      </c>
      <c r="E10" s="32" t="n">
        <v>0</v>
      </c>
      <c r="F10" s="32" t="n">
        <v>20000</v>
      </c>
      <c r="G10" s="32" t="n">
        <v>0</v>
      </c>
      <c r="H10" s="33">
        <f>SUM(D10:G10)</f>
        <v/>
      </c>
      <c r="I10" s="34">
        <f>IF(H10&gt;=80000, "Lunas", "Kurang Rp " &amp; TEXT(80000-H10, "#,##0"))</f>
        <v/>
      </c>
    </row>
    <row r="11" ht="22" customHeight="1">
      <c r="A11" s="35" t="n">
        <v>6</v>
      </c>
      <c r="B11" s="36" t="inlineStr">
        <is>
          <t>Eko Wahyudi</t>
        </is>
      </c>
      <c r="C11" s="35" t="inlineStr">
        <is>
          <t>Anchor #5</t>
        </is>
      </c>
      <c r="D11" s="37" t="n">
        <v>20000</v>
      </c>
      <c r="E11" s="37" t="n">
        <v>20000</v>
      </c>
      <c r="F11" s="37" t="n">
        <v>20000</v>
      </c>
      <c r="G11" s="37" t="n">
        <v>20000</v>
      </c>
      <c r="H11" s="38">
        <f>SUM(D11:G11)</f>
        <v/>
      </c>
      <c r="I11" s="39">
        <f>IF(H11&gt;=80000, "Lunas", "Kurang Rp " &amp; TEXT(80000-H11, "#,##0"))</f>
        <v/>
      </c>
    </row>
    <row r="12" ht="22" customHeight="1">
      <c r="A12" s="30" t="n">
        <v>7</v>
      </c>
      <c r="B12" s="31" t="inlineStr">
        <is>
          <t>Hendra Wijaya</t>
        </is>
      </c>
      <c r="C12" s="30" t="inlineStr">
        <is>
          <t>Pivot #10</t>
        </is>
      </c>
      <c r="D12" s="32" t="n">
        <v>20000</v>
      </c>
      <c r="E12" s="32" t="n">
        <v>20000</v>
      </c>
      <c r="F12" s="32" t="n">
        <v>20000</v>
      </c>
      <c r="G12" s="32" t="n">
        <v>20000</v>
      </c>
      <c r="H12" s="33">
        <f>SUM(D12:G12)</f>
        <v/>
      </c>
      <c r="I12" s="34">
        <f>IF(H12&gt;=80000, "Lunas", "Kurang Rp " &amp; TEXT(80000-H12, "#,##0"))</f>
        <v/>
      </c>
    </row>
    <row r="13" ht="22" customHeight="1">
      <c r="A13" s="35" t="n">
        <v>8</v>
      </c>
      <c r="B13" s="36" t="inlineStr">
        <is>
          <t>Bayu Aditya</t>
        </is>
      </c>
      <c r="C13" s="35" t="inlineStr">
        <is>
          <t>Kiper #12</t>
        </is>
      </c>
      <c r="D13" s="37" t="n">
        <v>20000</v>
      </c>
      <c r="E13" s="37" t="n">
        <v>20000</v>
      </c>
      <c r="F13" s="37" t="n">
        <v>0</v>
      </c>
      <c r="G13" s="37" t="n">
        <v>20000</v>
      </c>
      <c r="H13" s="38">
        <f>SUM(D13:G13)</f>
        <v/>
      </c>
      <c r="I13" s="39">
        <f>IF(H13&gt;=80000, "Lunas", "Kurang Rp " &amp; TEXT(80000-H13, "#,##0"))</f>
        <v/>
      </c>
    </row>
    <row r="14" ht="22" customHeight="1">
      <c r="A14" s="30" t="n">
        <v>9</v>
      </c>
      <c r="B14" s="31" t="inlineStr">
        <is>
          <t>Yoga Pratama</t>
        </is>
      </c>
      <c r="C14" s="30" t="inlineStr">
        <is>
          <t>Flank #8</t>
        </is>
      </c>
      <c r="D14" s="32" t="n">
        <v>20000</v>
      </c>
      <c r="E14" s="32" t="n">
        <v>20000</v>
      </c>
      <c r="F14" s="32" t="n">
        <v>20000</v>
      </c>
      <c r="G14" s="32" t="n">
        <v>20000</v>
      </c>
      <c r="H14" s="33">
        <f>SUM(D14:G14)</f>
        <v/>
      </c>
      <c r="I14" s="34">
        <f>IF(H14&gt;=80000, "Lunas", "Kurang Rp " &amp; TEXT(80000-H14, "#,##0"))</f>
        <v/>
      </c>
    </row>
    <row r="15" ht="22" customHeight="1">
      <c r="A15" s="35" t="n">
        <v>10</v>
      </c>
      <c r="B15" s="36" t="inlineStr">
        <is>
          <t>Gilang Ramadhan</t>
        </is>
      </c>
      <c r="C15" s="35" t="inlineStr">
        <is>
          <t>Anchor #3</t>
        </is>
      </c>
      <c r="D15" s="37" t="n">
        <v>20000</v>
      </c>
      <c r="E15" s="37" t="n">
        <v>20000</v>
      </c>
      <c r="F15" s="37" t="n">
        <v>20000</v>
      </c>
      <c r="G15" s="37" t="n">
        <v>20000</v>
      </c>
      <c r="H15" s="38">
        <f>SUM(D15:G15)</f>
        <v/>
      </c>
      <c r="I15" s="39">
        <f>IF(H15&gt;=80000, "Lunas", "Kurang Rp " &amp; TEXT(80000-H15, "#,##0"))</f>
        <v/>
      </c>
    </row>
    <row r="16" ht="22" customHeight="1">
      <c r="A16" s="30" t="n">
        <v>11</v>
      </c>
      <c r="B16" s="31" t="inlineStr">
        <is>
          <t>Doni Saputra</t>
        </is>
      </c>
      <c r="C16" s="30" t="inlineStr">
        <is>
          <t>Flank #14</t>
        </is>
      </c>
      <c r="D16" s="32" t="n">
        <v>20000</v>
      </c>
      <c r="E16" s="32" t="n">
        <v>20000</v>
      </c>
      <c r="F16" s="32" t="n">
        <v>20000</v>
      </c>
      <c r="G16" s="32" t="n">
        <v>20000</v>
      </c>
      <c r="H16" s="33">
        <f>SUM(D16:G16)</f>
        <v/>
      </c>
      <c r="I16" s="34">
        <f>IF(H16&gt;=80000, "Lunas", "Kurang Rp " &amp; TEXT(80000-H16, "#,##0"))</f>
        <v/>
      </c>
    </row>
    <row r="17" ht="22" customHeight="1">
      <c r="A17" s="35" t="n">
        <v>12</v>
      </c>
      <c r="B17" s="36" t="inlineStr">
        <is>
          <t>Taufik Hidayat</t>
        </is>
      </c>
      <c r="C17" s="35" t="inlineStr">
        <is>
          <t>Pivot #17</t>
        </is>
      </c>
      <c r="D17" s="37" t="n">
        <v>0</v>
      </c>
      <c r="E17" s="37" t="n">
        <v>20000</v>
      </c>
      <c r="F17" s="37" t="n">
        <v>20000</v>
      </c>
      <c r="G17" s="37" t="n">
        <v>20000</v>
      </c>
      <c r="H17" s="38">
        <f>SUM(D17:G17)</f>
        <v/>
      </c>
      <c r="I17" s="39">
        <f>IF(H17&gt;=80000, "Lunas", "Kurang Rp " &amp; TEXT(80000-H17, "#,##0"))</f>
        <v/>
      </c>
    </row>
    <row r="18" ht="28" customHeight="1">
      <c r="A18" s="25" t="inlineStr">
        <is>
          <t>TOTAL IURAN TERKUMPUL</t>
        </is>
      </c>
      <c r="B18" s="40" t="n"/>
      <c r="C18" s="40" t="n"/>
      <c r="D18" s="41">
        <f>SUM(D6:D17)</f>
        <v/>
      </c>
      <c r="E18" s="41">
        <f>SUM(E6:E17)</f>
        <v/>
      </c>
      <c r="F18" s="41">
        <f>SUM(F6:F17)</f>
        <v/>
      </c>
      <c r="G18" s="41">
        <f>SUM(G6:G17)</f>
        <v/>
      </c>
      <c r="H18" s="41">
        <f>SUM(H6:H17)</f>
        <v/>
      </c>
      <c r="I18" s="40" t="inlineStr"/>
    </row>
  </sheetData>
  <mergeCells count="1">
    <mergeCell ref="A18:C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2026-10-26T08:38:07Z</dcterms:created>
  <dcterms:modified xsi:type="dcterms:W3CDTF">2026-10-26T08:38:07Z</dcterms:modified>
</cp:coreProperties>
</file>